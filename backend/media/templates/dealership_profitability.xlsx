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AgingAndL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1"/>
    </font>
    <font>
      <name val="Segoe UI"/>
      <b val="1"/>
      <color rgb="006B7280"/>
      <sz val="9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sz val="10"/>
    </font>
    <font>
      <name val="Segoe UI"/>
      <b val="1"/>
      <color rgb="006B7280"/>
      <sz val="10"/>
    </font>
    <font>
      <name val="Segoe UI"/>
      <i val="1"/>
      <color rgb="004B5563"/>
      <sz val="8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0" borderId="0" pivotButton="0" quotePrefix="0" xfId="0"/>
    <xf numFmtId="0" fontId="14" fillId="0" borderId="0" pivotButton="0" quotePrefix="0" xfId="0"/>
    <xf numFmtId="0" fontId="10" fillId="3" borderId="1" pivotButton="0" quotePrefix="0" xfId="0"/>
    <xf numFmtId="0" fontId="15" fillId="0" borderId="0" pivotButton="0" quotePrefix="0" xfId="0"/>
    <xf numFmtId="0" fontId="11" fillId="0" borderId="1" pivotButton="0" quotePrefix="0" xfId="0"/>
    <xf numFmtId="166" fontId="11" fillId="0" borderId="1" pivotButton="0" quotePrefix="0" xfId="0"/>
    <xf numFmtId="0" fontId="12" fillId="0" borderId="0" pivotButton="0" quotePrefix="0" xfId="0"/>
    <xf numFmtId="0" fontId="12" fillId="0" borderId="1" pivotButton="0" quotePrefix="0" xfId="0"/>
    <xf numFmtId="0" fontId="13" fillId="0" borderId="0" pivotButton="0" quotePrefix="0" xfId="0"/>
    <xf numFmtId="0" fontId="0" fillId="5" borderId="1" pivotButton="0" quotePrefix="0" xfId="0"/>
    <xf numFmtId="165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right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LEASING COST MARKUP MATRIX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Score Tier</t>
        </is>
      </c>
      <c r="B4" s="3" t="inlineStr">
        <is>
          <t>Base Provision (%)</t>
        </is>
      </c>
      <c r="C4" s="3" t="inlineStr">
        <is>
          <t>Premium Markup (%)</t>
        </is>
      </c>
    </row>
    <row r="5" ht="22" customHeight="1">
      <c r="A5" s="4" t="inlineStr">
        <is>
          <t>Tier A</t>
        </is>
      </c>
      <c r="B5" s="5" t="n">
        <v>0.05</v>
      </c>
      <c r="C5" s="5" t="n">
        <v>0.12</v>
      </c>
    </row>
    <row r="6" ht="22" customHeight="1">
      <c r="A6" s="6" t="inlineStr">
        <is>
          <t>Tier B</t>
        </is>
      </c>
      <c r="B6" s="7" t="n">
        <v>0.08</v>
      </c>
      <c r="C6" s="7" t="n">
        <v>0.15</v>
      </c>
    </row>
    <row r="7" ht="22" customHeight="1">
      <c r="A7" s="4" t="inlineStr">
        <is>
          <t>Tier C</t>
        </is>
      </c>
      <c r="B7" s="5" t="n">
        <v>0.12</v>
      </c>
      <c r="C7" s="5" t="n">
        <v>0.2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6" customWidth="1" min="3" max="3"/>
    <col width="25" customWidth="1" min="4" max="4"/>
    <col width="24" customWidth="1" min="5" max="5"/>
    <col width="24" customWidth="1" min="6" max="6"/>
    <col width="40" customWidth="1" min="8" max="8"/>
  </cols>
  <sheetData>
    <row r="1" ht="40" customHeight="1">
      <c r="A1" s="8" t="inlineStr">
        <is>
          <t>INTERNAL FINANCE TRAINING: ADVANCED CAPITAL BUDGETING &amp; AGING</t>
        </is>
      </c>
    </row>
    <row r="4" ht="25" customHeight="1">
      <c r="A4" s="9" t="inlineStr">
        <is>
          <t>Receipt Date</t>
        </is>
      </c>
      <c r="B4" s="9" t="inlineStr">
        <is>
          <t>Base Cost (AED)</t>
        </is>
      </c>
      <c r="C4" s="9" t="inlineStr">
        <is>
          <t>Holding Days</t>
        </is>
      </c>
      <c r="D4" s="9" t="inlineStr">
        <is>
          <t>Aging Bracket</t>
        </is>
      </c>
      <c r="E4" s="9" t="inlineStr">
        <is>
          <t>Compounding Penalty</t>
        </is>
      </c>
    </row>
    <row r="5" ht="22" customHeight="1">
      <c r="A5" s="10" t="n">
        <v>46127</v>
      </c>
      <c r="B5" s="11" t="n">
        <v>450000</v>
      </c>
      <c r="C5" s="12">
        <f>TODAY()-A5</f>
        <v/>
      </c>
      <c r="D5" s="13" t="inlineStr"/>
      <c r="E5" s="13" t="inlineStr"/>
    </row>
    <row r="6" ht="22" customHeight="1">
      <c r="A6" s="10" t="n">
        <v>46152</v>
      </c>
      <c r="B6" s="11" t="n">
        <v>125000</v>
      </c>
      <c r="C6" s="12">
        <f>TODAY()-A6</f>
        <v/>
      </c>
      <c r="D6" s="13" t="inlineStr"/>
      <c r="E6" s="13" t="inlineStr"/>
    </row>
    <row r="7" ht="22" customHeight="1">
      <c r="A7" s="10" t="n">
        <v>46162</v>
      </c>
      <c r="B7" s="11" t="n">
        <v>85000</v>
      </c>
      <c r="C7" s="12">
        <f>TODAY()-A7</f>
        <v/>
      </c>
      <c r="D7" s="13" t="inlineStr"/>
      <c r="E7" s="13" t="inlineStr"/>
    </row>
    <row r="9">
      <c r="A9" s="14" t="inlineStr">
        <is>
          <t>Capital Project Analysis Dashboard:</t>
        </is>
      </c>
      <c r="H9" s="15" t="inlineStr">
        <is>
          <t>Formula Guidelines:</t>
        </is>
      </c>
    </row>
    <row r="10">
      <c r="A10" s="16" t="inlineStr">
        <is>
          <t>Score Tier</t>
        </is>
      </c>
      <c r="B10" s="16" t="inlineStr">
        <is>
          <t>Base Provision (%)</t>
        </is>
      </c>
      <c r="C10" s="16" t="inlineStr">
        <is>
          <t>Premium Markup (%)</t>
        </is>
      </c>
      <c r="H10" s="17" t="inlineStr">
        <is>
          <t>D5-D7: Aging Bracket. If days &lt;= 30: '0-30 days', if days &lt;= 90: '31-90 days', else: '90+ days'</t>
        </is>
      </c>
    </row>
    <row r="11">
      <c r="A11" s="18" t="inlineStr">
        <is>
          <t>Tier A</t>
        </is>
      </c>
      <c r="B11" s="19" t="n">
        <v>0.05</v>
      </c>
      <c r="C11" s="19" t="n">
        <v>0.12</v>
      </c>
      <c r="H11" s="17" t="inlineStr">
        <is>
          <t>E5-E7: Holding Cost. If bracket is '0-30 days': 50, if '31-90 days': 100, else: 150 (use Nested IF)</t>
        </is>
      </c>
    </row>
    <row r="12">
      <c r="A12" s="18" t="inlineStr">
        <is>
          <t>Tier B</t>
        </is>
      </c>
      <c r="B12" s="19" t="n">
        <v>0.08</v>
      </c>
      <c r="C12" s="19" t="n">
        <v>0.15</v>
      </c>
    </row>
    <row r="13">
      <c r="A13" s="18" t="inlineStr">
        <is>
          <t>Tier C</t>
        </is>
      </c>
      <c r="B13" s="19" t="n">
        <v>0.12</v>
      </c>
      <c r="C13" s="19" t="n">
        <v>0.2</v>
      </c>
      <c r="H13" s="17" t="inlineStr">
        <is>
          <t>B17: 2D query based on B15 and B16 from mini performance matrix (use INDEX/MATCH)</t>
        </is>
      </c>
    </row>
    <row r="15">
      <c r="A15" s="20" t="inlineStr">
        <is>
          <t>Select Tier:</t>
        </is>
      </c>
      <c r="B15" s="21" t="inlineStr">
        <is>
          <t>Tier B</t>
        </is>
      </c>
      <c r="H15" s="17" t="inlineStr">
        <is>
          <t>F21: Calculate XNPV on lease cash flows given discount rate (r) in D21 (use XNPV)</t>
        </is>
      </c>
    </row>
    <row r="16">
      <c r="A16" s="20" t="inlineStr">
        <is>
          <t>Select Metric:</t>
        </is>
      </c>
      <c r="B16" s="21" t="inlineStr">
        <is>
          <t>Premium Markup (%)</t>
        </is>
      </c>
    </row>
    <row r="17">
      <c r="A17" s="22" t="inlineStr">
        <is>
          <t>Resulting Allocation:</t>
        </is>
      </c>
      <c r="B17" s="23" t="n"/>
      <c r="H17" s="17" t="inlineStr">
        <is>
          <t>F23: Calculate XIRR on lease cash flows (use XIRR)</t>
        </is>
      </c>
    </row>
    <row r="19">
      <c r="A19" s="22" t="inlineStr">
        <is>
          <t>Showroom Leasing Capital Project flows:</t>
        </is>
      </c>
    </row>
    <row r="20">
      <c r="A20" s="16" t="inlineStr">
        <is>
          <t>Project Date</t>
        </is>
      </c>
      <c r="B20" s="16" t="inlineStr">
        <is>
          <t>Cash Flow (AED)</t>
        </is>
      </c>
      <c r="D20" s="16" t="inlineStr">
        <is>
          <t>Discount Rate (r)</t>
        </is>
      </c>
    </row>
    <row r="21">
      <c r="A21" s="24" t="n">
        <v>46169</v>
      </c>
      <c r="B21" s="25" t="n">
        <v>-300000</v>
      </c>
      <c r="D21" s="19" t="n">
        <v>0.08</v>
      </c>
      <c r="E21" s="26" t="inlineStr">
        <is>
          <t>Project XNPV (AED):</t>
        </is>
      </c>
      <c r="F21" s="23" t="n"/>
    </row>
    <row r="22">
      <c r="A22" s="24" t="n">
        <v>46534</v>
      </c>
      <c r="B22" s="25" t="n">
        <v>100000</v>
      </c>
    </row>
    <row r="23">
      <c r="A23" s="24" t="n">
        <v>46900</v>
      </c>
      <c r="B23" s="25" t="n">
        <v>120000</v>
      </c>
      <c r="E23" s="26" t="inlineStr">
        <is>
          <t>Project XIRR (%):</t>
        </is>
      </c>
      <c r="F23" s="23" t="n"/>
    </row>
    <row r="24">
      <c r="A24" s="24" t="n">
        <v>47265</v>
      </c>
      <c r="B24" s="25" t="n">
        <v>150000</v>
      </c>
    </row>
    <row r="25">
      <c r="A25" s="24" t="n">
        <v>47630</v>
      </c>
      <c r="B25" s="25" t="n">
        <v>180000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2026-06-08T11:46:18Z</dcterms:created>
  <dcterms:modified xsi:type="dcterms:W3CDTF">2026-06-08T11:46:18Z</dcterms:modified>
</cp:coreProperties>
</file>